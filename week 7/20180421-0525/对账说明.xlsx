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 filterPrivacy="1"/>
  <xr:revisionPtr revIDLastSave="43" documentId="11_AD4DC2C4214B839BC62F9C691E4B170A6BE8DE2E" xr6:coauthVersionLast="36" xr6:coauthVersionMax="40" xr10:uidLastSave="{DC031361-7A1E-48CA-81D5-C10953F90505}"/>
  <bookViews>
    <workbookView xWindow="3090" yWindow="0" windowWidth="22260" windowHeight="126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21" i="1" l="1"/>
  <c r="C22" i="1"/>
  <c r="B22" i="1"/>
  <c r="B21" i="1"/>
  <c r="C19" i="1"/>
  <c r="B20" i="1"/>
  <c r="B19" i="1"/>
  <c r="C18" i="1"/>
  <c r="B18" i="1"/>
</calcChain>
</file>

<file path=xl/sharedStrings.xml><?xml version="1.0" encoding="utf-8"?>
<sst xmlns="http://schemas.openxmlformats.org/spreadsheetml/2006/main" count="16" uniqueCount="12">
  <si>
    <t>一卡通01</t>
    <phoneticPr fontId="1" type="noConversion"/>
  </si>
  <si>
    <t>一卡通02</t>
  </si>
  <si>
    <t>流水数量</t>
    <phoneticPr fontId="1" type="noConversion"/>
  </si>
  <si>
    <t>流水总金额</t>
    <phoneticPr fontId="1" type="noConversion"/>
  </si>
  <si>
    <t>rightDATA</t>
    <phoneticPr fontId="1" type="noConversion"/>
  </si>
  <si>
    <t>南超</t>
    <phoneticPr fontId="1" type="noConversion"/>
  </si>
  <si>
    <t>DATA_0</t>
    <phoneticPr fontId="1" type="noConversion"/>
  </si>
  <si>
    <t>nanchaoDATA</t>
    <phoneticPr fontId="1" type="noConversion"/>
  </si>
  <si>
    <t>yikatongDATA</t>
    <phoneticPr fontId="1" type="noConversion"/>
  </si>
  <si>
    <t>原流水差</t>
    <phoneticPr fontId="1" type="noConversion"/>
  </si>
  <si>
    <t>第一次</t>
    <phoneticPr fontId="1" type="noConversion"/>
  </si>
  <si>
    <t>第二次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</si>
</sst>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T17" sqref="T17"/>
    </sheetView>
  </sheetViews>
  <sheetFormatPr defaultRowHeight="14.25" x14ac:dyDescent="0.2"/>
  <cols>
    <col min="1" max="1" width="13" customWidth="1"/>
  </cols>
  <sheetData>
    <row r="1" spans="1:3" x14ac:dyDescent="0.2">
      <c r="B1" t="s">
        <v>2</v>
      </c>
      <c r="C1" t="s">
        <v>3</v>
      </c>
    </row>
    <row r="2" spans="1:3" x14ac:dyDescent="0.2">
      <c r="A2" t="s">
        <v>0</v>
      </c>
      <c r="B2">
        <v>30464</v>
      </c>
      <c r="C2">
        <v>270635.25</v>
      </c>
    </row>
    <row r="3" spans="1:3" x14ac:dyDescent="0.2">
      <c r="A3" t="s">
        <v>1</v>
      </c>
      <c r="B3">
        <v>5350</v>
      </c>
      <c r="C3">
        <v>50804.1</v>
      </c>
    </row>
    <row r="4" spans="1:3" x14ac:dyDescent="0.2">
      <c r="A4" t="s">
        <v>5</v>
      </c>
      <c r="B4">
        <v>41815</v>
      </c>
      <c r="C4">
        <v>321644.09999999998</v>
      </c>
    </row>
    <row r="5" spans="1:3" x14ac:dyDescent="0.2">
      <c r="A5" t="s">
        <v>6</v>
      </c>
      <c r="B5">
        <v>5939</v>
      </c>
      <c r="C5">
        <v>0</v>
      </c>
    </row>
    <row r="6" spans="1:3" x14ac:dyDescent="0.2">
      <c r="A6" t="s">
        <v>4</v>
      </c>
      <c r="B6">
        <v>35725</v>
      </c>
      <c r="C6">
        <v>320518.09999999998</v>
      </c>
    </row>
    <row r="7" spans="1:3" x14ac:dyDescent="0.2">
      <c r="A7" t="s">
        <v>7</v>
      </c>
      <c r="B7">
        <v>151</v>
      </c>
      <c r="C7">
        <v>1126</v>
      </c>
    </row>
    <row r="8" spans="1:3" x14ac:dyDescent="0.2">
      <c r="A8" t="s">
        <v>8</v>
      </c>
      <c r="B8">
        <v>89</v>
      </c>
      <c r="C8">
        <v>921.25</v>
      </c>
    </row>
    <row r="9" spans="1:3" x14ac:dyDescent="0.2">
      <c r="A9" t="s">
        <v>6</v>
      </c>
    </row>
    <row r="10" spans="1:3" x14ac:dyDescent="0.2">
      <c r="A10" t="s">
        <v>4</v>
      </c>
    </row>
    <row r="11" spans="1:3" x14ac:dyDescent="0.2">
      <c r="A11" t="s">
        <v>7</v>
      </c>
    </row>
    <row r="12" spans="1:3" x14ac:dyDescent="0.2">
      <c r="A12" t="s">
        <v>8</v>
      </c>
    </row>
    <row r="18" spans="1:3" x14ac:dyDescent="0.2">
      <c r="A18" t="s">
        <v>9</v>
      </c>
      <c r="B18">
        <f>B4-B3-B2</f>
        <v>6001</v>
      </c>
      <c r="C18">
        <f>C4-C3-C2</f>
        <v>204.75</v>
      </c>
    </row>
    <row r="19" spans="1:3" x14ac:dyDescent="0.2">
      <c r="A19" t="s">
        <v>10</v>
      </c>
      <c r="B19">
        <f>B6+B5+B7-B4</f>
        <v>0</v>
      </c>
      <c r="C19">
        <f>C6+C5+C7-C4</f>
        <v>0</v>
      </c>
    </row>
    <row r="20" spans="1:3" x14ac:dyDescent="0.2">
      <c r="B20">
        <f>B8+B6-B3-B2</f>
        <v>0</v>
      </c>
      <c r="C20">
        <f>C8+C6-C3-C2</f>
        <v>0</v>
      </c>
    </row>
    <row r="21" spans="1:3" x14ac:dyDescent="0.2">
      <c r="A21" t="s">
        <v>11</v>
      </c>
      <c r="B21">
        <f>B10+B11+B9-B7</f>
        <v>-151</v>
      </c>
      <c r="C21">
        <f>C10+C11+C9-C7</f>
        <v>-1126</v>
      </c>
    </row>
    <row r="22" spans="1:3" x14ac:dyDescent="0.2">
      <c r="B22">
        <f>B12+B10-B8</f>
        <v>-89</v>
      </c>
      <c r="C22">
        <f>C12+C10-C8</f>
        <v>-921.25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2019-01-12T03:30:36Z</dcterms:modified>
</cp:coreProperties>
</file>